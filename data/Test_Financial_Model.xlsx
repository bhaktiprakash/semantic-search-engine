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enaa\projects\helloworld\projects\semantic-spreadsheet-search\data\"/>
    </mc:Choice>
  </mc:AlternateContent>
  <xr:revisionPtr revIDLastSave="0" documentId="13_ncr:1_{43271A97-C648-4F7B-9DF3-BCFC86A1B556}" xr6:coauthVersionLast="47" xr6:coauthVersionMax="47" xr10:uidLastSave="{00000000-0000-0000-0000-000000000000}"/>
  <bookViews>
    <workbookView xWindow="2160" yWindow="2160" windowWidth="15300" windowHeight="7785" activeTab="1" xr2:uid="{00000000-000D-0000-FFFF-FFFF00000000}"/>
  </bookViews>
  <sheets>
    <sheet name="Dashboard" sheetId="1" r:id="rId1"/>
    <sheet name="Cost Analysis" sheetId="2" r:id="rId2"/>
    <sheet name="P&amp;L Statement" sheetId="3" r:id="rId3"/>
    <sheet name="Financial Ratios" sheetId="4" r:id="rId4"/>
    <sheet name="3-Year Forecast" sheetId="5" r:id="rId5"/>
  </sheets>
  <calcPr calcId="191029"/>
</workbook>
</file>

<file path=xl/calcChain.xml><?xml version="1.0" encoding="utf-8"?>
<calcChain xmlns="http://schemas.openxmlformats.org/spreadsheetml/2006/main">
  <c r="B3" i="5" l="1"/>
  <c r="B4" i="5" s="1"/>
  <c r="B2" i="4" s="1"/>
  <c r="B5" i="1" s="1"/>
  <c r="C2" i="5"/>
  <c r="B6" i="4"/>
  <c r="B14" i="3"/>
  <c r="B13" i="3"/>
  <c r="B12" i="3"/>
  <c r="B11" i="3"/>
  <c r="B10" i="3"/>
  <c r="B9" i="3"/>
  <c r="B8" i="3"/>
  <c r="B7" i="3"/>
  <c r="B6" i="3"/>
  <c r="B5" i="3"/>
  <c r="B3" i="3"/>
  <c r="B4" i="3" s="1"/>
  <c r="B12" i="2"/>
  <c r="C11" i="2"/>
  <c r="C10" i="2"/>
  <c r="C9" i="2"/>
  <c r="C8" i="2"/>
  <c r="C7" i="2"/>
  <c r="C6" i="2"/>
  <c r="C5" i="2"/>
  <c r="C4" i="2"/>
  <c r="C3" i="2"/>
  <c r="C2" i="2"/>
  <c r="B2" i="1"/>
  <c r="C12" i="2" l="1"/>
  <c r="B15" i="3"/>
  <c r="B5" i="5" s="1"/>
  <c r="B16" i="3"/>
  <c r="B18" i="3" s="1"/>
  <c r="B5" i="4"/>
  <c r="C5" i="5"/>
  <c r="B3" i="1"/>
  <c r="B19" i="3"/>
  <c r="B20" i="3" s="1"/>
  <c r="B6" i="5"/>
  <c r="D2" i="5"/>
  <c r="C3" i="5"/>
  <c r="C6" i="4" s="1"/>
  <c r="D3" i="5" l="1"/>
  <c r="D6" i="4" s="1"/>
  <c r="D4" i="5"/>
  <c r="B8" i="5"/>
  <c r="B3" i="4"/>
  <c r="D5" i="5"/>
  <c r="D5" i="4" s="1"/>
  <c r="C5" i="4"/>
  <c r="C4" i="5"/>
  <c r="B9" i="5" l="1"/>
  <c r="B10" i="5" s="1"/>
  <c r="C2" i="4"/>
  <c r="C7" i="4" s="1"/>
  <c r="B7" i="1" s="1"/>
  <c r="C6" i="5"/>
  <c r="D6" i="5"/>
  <c r="D2" i="4"/>
  <c r="D7" i="4" s="1"/>
  <c r="B4" i="4" l="1"/>
  <c r="B6" i="1" s="1"/>
  <c r="B4" i="1"/>
  <c r="D8" i="5"/>
  <c r="D3" i="4"/>
  <c r="C3" i="4"/>
  <c r="C8" i="5"/>
  <c r="C9" i="5" l="1"/>
  <c r="C10" i="5" s="1"/>
  <c r="D9" i="5"/>
  <c r="D10" i="5" s="1"/>
  <c r="D4" i="4" l="1"/>
  <c r="D8" i="4"/>
  <c r="C8" i="4"/>
  <c r="B8" i="1" s="1"/>
  <c r="C4" i="4"/>
</calcChain>
</file>

<file path=xl/sharedStrings.xml><?xml version="1.0" encoding="utf-8"?>
<sst xmlns="http://schemas.openxmlformats.org/spreadsheetml/2006/main" count="68" uniqueCount="45">
  <si>
    <t>Key Metrics</t>
  </si>
  <si>
    <t>Total Revenue (Yr1)</t>
  </si>
  <si>
    <t>Total Expenses (Yr1)</t>
  </si>
  <si>
    <t>Net Profit (Yr1)</t>
  </si>
  <si>
    <t>Gross Margin (Yr1)</t>
  </si>
  <si>
    <t>Net Profit Margin (Yr1)</t>
  </si>
  <si>
    <t>Revenue Growth (Yr2)</t>
  </si>
  <si>
    <t>Net Profit Growth (Yr2)</t>
  </si>
  <si>
    <t>Cost Category</t>
  </si>
  <si>
    <t>Monthly Cost</t>
  </si>
  <si>
    <t>Annual Cost</t>
  </si>
  <si>
    <t>Salaries</t>
  </si>
  <si>
    <t>Rent</t>
  </si>
  <si>
    <t>Utilities</t>
  </si>
  <si>
    <t>Marketing</t>
  </si>
  <si>
    <t>Office Supplies</t>
  </si>
  <si>
    <t>Insurance</t>
  </si>
  <si>
    <t>Travel</t>
  </si>
  <si>
    <t>IT Services</t>
  </si>
  <si>
    <t>Legal &amp; Accounting</t>
  </si>
  <si>
    <t>Miscellaneous</t>
  </si>
  <si>
    <t>Total</t>
  </si>
  <si>
    <t>Item</t>
  </si>
  <si>
    <t>Amount</t>
  </si>
  <si>
    <t>Revenue</t>
  </si>
  <si>
    <t>Cost of Goods Sold</t>
  </si>
  <si>
    <t>Gross Profit</t>
  </si>
  <si>
    <t>Operating Expenses</t>
  </si>
  <si>
    <t>Total Operating Expenses</t>
  </si>
  <si>
    <t>Operating Profit</t>
  </si>
  <si>
    <t>Interest Expense</t>
  </si>
  <si>
    <t>Net Profit Before Tax</t>
  </si>
  <si>
    <t>Income Tax (20%)</t>
  </si>
  <si>
    <t>Net Profit After Tax</t>
  </si>
  <si>
    <t>Ratio</t>
  </si>
  <si>
    <t>Year 1</t>
  </si>
  <si>
    <t>Year 2</t>
  </si>
  <si>
    <t>Year 3</t>
  </si>
  <si>
    <t>Gross Margin</t>
  </si>
  <si>
    <t>Operating Margin</t>
  </si>
  <si>
    <t>Net Profit Margin</t>
  </si>
  <si>
    <t>Expense Ratio</t>
  </si>
  <si>
    <t>COGS Ratio</t>
  </si>
  <si>
    <t>Revenue Growth</t>
  </si>
  <si>
    <t>Net Profit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</si>
</sst>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"/>
  <sheetViews>
    <sheetView workbookViewId="0"/>
  </sheetViews>
  <sheetFormatPr defaultColWidth="12.5703125" defaultRowHeight="15.75" customHeight="1" x14ac:dyDescent="0.2"/>
  <cols>
    <col min="1" max="1" width="18" customWidth="1"/>
  </cols>
  <sheetData>
    <row r="1" spans="1:2" x14ac:dyDescent="0.2">
      <c r="A1" s="1" t="s">
        <v>0</v>
      </c>
    </row>
    <row r="2" spans="1:2" x14ac:dyDescent="0.2">
      <c r="A2" s="1" t="s">
        <v>1</v>
      </c>
      <c r="B2" s="1">
        <f>'3-Year Forecast'!B2</f>
        <v>350000</v>
      </c>
    </row>
    <row r="3" spans="1:2" x14ac:dyDescent="0.2">
      <c r="A3" s="1" t="s">
        <v>2</v>
      </c>
      <c r="B3" s="1">
        <f>'3-Year Forecast'!B5</f>
        <v>21601</v>
      </c>
    </row>
    <row r="4" spans="1:2" x14ac:dyDescent="0.2">
      <c r="A4" s="1" t="s">
        <v>3</v>
      </c>
      <c r="B4" s="1">
        <f>'3-Year Forecast'!B10</f>
        <v>90719.2</v>
      </c>
    </row>
    <row r="5" spans="1:2" x14ac:dyDescent="0.2">
      <c r="A5" s="1" t="s">
        <v>4</v>
      </c>
      <c r="B5" s="1">
        <f>'Financial Ratios'!B2</f>
        <v>0.4</v>
      </c>
    </row>
    <row r="6" spans="1:2" x14ac:dyDescent="0.2">
      <c r="A6" s="1" t="s">
        <v>5</v>
      </c>
      <c r="B6" s="1">
        <f>'Financial Ratios'!B4</f>
        <v>0.25919771428571425</v>
      </c>
    </row>
    <row r="7" spans="1:2" x14ac:dyDescent="0.2">
      <c r="A7" s="1" t="s">
        <v>6</v>
      </c>
      <c r="B7" s="1">
        <f>'Financial Ratios'!C7</f>
        <v>0.49999999999999989</v>
      </c>
    </row>
    <row r="8" spans="1:2" x14ac:dyDescent="0.2">
      <c r="A8" s="1" t="s">
        <v>7</v>
      </c>
      <c r="B8" s="1">
        <f>'Financial Ratios'!C8</f>
        <v>0.75591451423733902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2"/>
  <sheetViews>
    <sheetView tabSelected="1" workbookViewId="0">
      <selection activeCell="D6" sqref="D6"/>
    </sheetView>
  </sheetViews>
  <sheetFormatPr defaultColWidth="12.5703125" defaultRowHeight="15.75" customHeight="1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s="1" t="s">
        <v>11</v>
      </c>
      <c r="B2" s="1">
        <v>12000</v>
      </c>
      <c r="C2" s="1">
        <f t="shared" ref="C2:C11" si="0">B2*12</f>
        <v>144000</v>
      </c>
    </row>
    <row r="3" spans="1:3" x14ac:dyDescent="0.2">
      <c r="A3" s="1" t="s">
        <v>12</v>
      </c>
      <c r="B3" s="1">
        <v>3000</v>
      </c>
      <c r="C3" s="1">
        <f t="shared" si="0"/>
        <v>36000</v>
      </c>
    </row>
    <row r="4" spans="1:3" x14ac:dyDescent="0.2">
      <c r="A4" s="1" t="s">
        <v>13</v>
      </c>
      <c r="B4" s="1">
        <v>800</v>
      </c>
      <c r="C4" s="1">
        <f t="shared" si="0"/>
        <v>9600</v>
      </c>
    </row>
    <row r="5" spans="1:3" x14ac:dyDescent="0.2">
      <c r="A5" s="1" t="s">
        <v>14</v>
      </c>
      <c r="B5" s="1">
        <v>3000</v>
      </c>
      <c r="C5" s="1">
        <f t="shared" si="0"/>
        <v>36000</v>
      </c>
    </row>
    <row r="6" spans="1:3" x14ac:dyDescent="0.2">
      <c r="A6" s="1" t="s">
        <v>15</v>
      </c>
      <c r="B6" s="1">
        <v>401</v>
      </c>
      <c r="C6" s="1">
        <f t="shared" si="0"/>
        <v>4812</v>
      </c>
    </row>
    <row r="7" spans="1:3" x14ac:dyDescent="0.2">
      <c r="A7" s="1" t="s">
        <v>16</v>
      </c>
      <c r="B7" s="1">
        <v>600</v>
      </c>
      <c r="C7" s="1">
        <f t="shared" si="0"/>
        <v>7200</v>
      </c>
    </row>
    <row r="8" spans="1:3" x14ac:dyDescent="0.2">
      <c r="A8" s="1" t="s">
        <v>17</v>
      </c>
      <c r="B8" s="1">
        <v>500</v>
      </c>
      <c r="C8" s="1">
        <f t="shared" si="0"/>
        <v>6000</v>
      </c>
    </row>
    <row r="9" spans="1:3" x14ac:dyDescent="0.2">
      <c r="A9" s="1" t="s">
        <v>18</v>
      </c>
      <c r="B9" s="1">
        <v>700</v>
      </c>
      <c r="C9" s="1">
        <f t="shared" si="0"/>
        <v>8400</v>
      </c>
    </row>
    <row r="10" spans="1:3" x14ac:dyDescent="0.2">
      <c r="A10" s="1" t="s">
        <v>19</v>
      </c>
      <c r="B10" s="1">
        <v>350</v>
      </c>
      <c r="C10" s="1">
        <f t="shared" si="0"/>
        <v>4200</v>
      </c>
    </row>
    <row r="11" spans="1:3" x14ac:dyDescent="0.2">
      <c r="A11" s="1" t="s">
        <v>20</v>
      </c>
      <c r="B11" s="1">
        <v>250</v>
      </c>
      <c r="C11" s="1">
        <f t="shared" si="0"/>
        <v>3000</v>
      </c>
    </row>
    <row r="12" spans="1:3" x14ac:dyDescent="0.2">
      <c r="A12" s="1" t="s">
        <v>21</v>
      </c>
      <c r="B12" s="1">
        <f t="shared" ref="B12:C12" si="1">SUM(B2:B11)</f>
        <v>21601</v>
      </c>
      <c r="C12" s="1">
        <f t="shared" si="1"/>
        <v>259212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1"/>
  <sheetViews>
    <sheetView topLeftCell="A12" workbookViewId="0">
      <selection activeCell="B12" sqref="B12"/>
    </sheetView>
  </sheetViews>
  <sheetFormatPr defaultColWidth="12.5703125" defaultRowHeight="15.75" customHeight="1" x14ac:dyDescent="0.2"/>
  <cols>
    <col min="1" max="1" width="20.140625" customWidth="1"/>
  </cols>
  <sheetData>
    <row r="1" spans="1:2" x14ac:dyDescent="0.2">
      <c r="A1" s="1" t="s">
        <v>22</v>
      </c>
      <c r="B1" s="1" t="s">
        <v>23</v>
      </c>
    </row>
    <row r="2" spans="1:2" x14ac:dyDescent="0.2">
      <c r="A2" s="1" t="s">
        <v>24</v>
      </c>
      <c r="B2" s="1">
        <v>350000</v>
      </c>
    </row>
    <row r="3" spans="1:2" x14ac:dyDescent="0.2">
      <c r="A3" s="1" t="s">
        <v>25</v>
      </c>
      <c r="B3" s="1">
        <f>B2*0.4</f>
        <v>140000</v>
      </c>
    </row>
    <row r="4" spans="1:2" x14ac:dyDescent="0.2">
      <c r="A4" s="1" t="s">
        <v>26</v>
      </c>
      <c r="B4" s="1">
        <f>B2-B3</f>
        <v>210000</v>
      </c>
    </row>
    <row r="5" spans="1:2" x14ac:dyDescent="0.2">
      <c r="A5" s="1" t="s">
        <v>27</v>
      </c>
      <c r="B5" s="1">
        <f>'Cost Analysis'!B2</f>
        <v>12000</v>
      </c>
    </row>
    <row r="6" spans="1:2" x14ac:dyDescent="0.2">
      <c r="A6" s="1" t="s">
        <v>11</v>
      </c>
      <c r="B6" s="1">
        <f>'Cost Analysis'!B3</f>
        <v>3000</v>
      </c>
    </row>
    <row r="7" spans="1:2" x14ac:dyDescent="0.2">
      <c r="A7" s="1" t="s">
        <v>12</v>
      </c>
      <c r="B7" s="1">
        <f>'Cost Analysis'!B4</f>
        <v>800</v>
      </c>
    </row>
    <row r="8" spans="1:2" x14ac:dyDescent="0.2">
      <c r="A8" s="1" t="s">
        <v>13</v>
      </c>
      <c r="B8" s="1">
        <f>'Cost Analysis'!B5</f>
        <v>3000</v>
      </c>
    </row>
    <row r="9" spans="1:2" x14ac:dyDescent="0.2">
      <c r="A9" s="1" t="s">
        <v>14</v>
      </c>
      <c r="B9" s="1">
        <f>'Cost Analysis'!B6</f>
        <v>401</v>
      </c>
    </row>
    <row r="10" spans="1:2" x14ac:dyDescent="0.2">
      <c r="A10" s="1" t="s">
        <v>15</v>
      </c>
      <c r="B10" s="1">
        <f>'Cost Analysis'!B7</f>
        <v>600</v>
      </c>
    </row>
    <row r="11" spans="1:2" x14ac:dyDescent="0.2">
      <c r="A11" s="1" t="s">
        <v>16</v>
      </c>
      <c r="B11" s="1">
        <f>'Cost Analysis'!B8</f>
        <v>500</v>
      </c>
    </row>
    <row r="12" spans="1:2" x14ac:dyDescent="0.2">
      <c r="A12" s="1" t="s">
        <v>17</v>
      </c>
      <c r="B12" s="1">
        <f>'Cost Analysis'!B9</f>
        <v>700</v>
      </c>
    </row>
    <row r="13" spans="1:2" x14ac:dyDescent="0.2">
      <c r="A13" s="1" t="s">
        <v>18</v>
      </c>
      <c r="B13" s="1">
        <f>'Cost Analysis'!B10</f>
        <v>350</v>
      </c>
    </row>
    <row r="14" spans="1:2" x14ac:dyDescent="0.2">
      <c r="A14" s="1" t="s">
        <v>19</v>
      </c>
      <c r="B14" s="1">
        <f>'Cost Analysis'!B11</f>
        <v>250</v>
      </c>
    </row>
    <row r="15" spans="1:2" x14ac:dyDescent="0.2">
      <c r="A15" s="1" t="s">
        <v>20</v>
      </c>
      <c r="B15" s="1">
        <f>SUM(B5:B14)</f>
        <v>21601</v>
      </c>
    </row>
    <row r="16" spans="1:2" x14ac:dyDescent="0.2">
      <c r="A16" s="1" t="s">
        <v>28</v>
      </c>
      <c r="B16" s="1">
        <f>B4-B15</f>
        <v>188399</v>
      </c>
    </row>
    <row r="17" spans="1:2" x14ac:dyDescent="0.2">
      <c r="A17" s="1" t="s">
        <v>29</v>
      </c>
      <c r="B17" s="1">
        <v>5000</v>
      </c>
    </row>
    <row r="18" spans="1:2" x14ac:dyDescent="0.2">
      <c r="A18" s="1" t="s">
        <v>30</v>
      </c>
      <c r="B18" s="1">
        <f>B16-B17</f>
        <v>183399</v>
      </c>
    </row>
    <row r="19" spans="1:2" x14ac:dyDescent="0.2">
      <c r="A19" s="1" t="s">
        <v>31</v>
      </c>
      <c r="B19" s="1">
        <f>B18*0.2</f>
        <v>36679.800000000003</v>
      </c>
    </row>
    <row r="20" spans="1:2" x14ac:dyDescent="0.2">
      <c r="A20" s="1" t="s">
        <v>32</v>
      </c>
      <c r="B20" s="1">
        <f>B18-B19</f>
        <v>146719.20000000001</v>
      </c>
    </row>
    <row r="21" spans="1:2" x14ac:dyDescent="0.2">
      <c r="A21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8"/>
  <sheetViews>
    <sheetView workbookViewId="0">
      <selection activeCell="B3" sqref="B3"/>
    </sheetView>
  </sheetViews>
  <sheetFormatPr defaultColWidth="12.5703125" defaultRowHeight="15.75" customHeight="1" x14ac:dyDescent="0.2"/>
  <cols>
    <col min="1" max="1" width="13.85546875" customWidth="1"/>
  </cols>
  <sheetData>
    <row r="1" spans="1:4" x14ac:dyDescent="0.2">
      <c r="A1" s="1" t="s">
        <v>34</v>
      </c>
      <c r="B1" s="1" t="s">
        <v>35</v>
      </c>
      <c r="C1" s="1" t="s">
        <v>36</v>
      </c>
      <c r="D1" s="1" t="s">
        <v>37</v>
      </c>
    </row>
    <row r="2" spans="1:4" x14ac:dyDescent="0.2">
      <c r="A2" s="1" t="s">
        <v>38</v>
      </c>
      <c r="B2" s="1">
        <f>'3-Year Forecast'!B4/'3-Year Forecast'!B2</f>
        <v>0.4</v>
      </c>
      <c r="C2" s="1">
        <f>'3-Year Forecast'!C4/'3-Year Forecast'!C2</f>
        <v>0.6</v>
      </c>
      <c r="D2" s="1">
        <f>'3-Year Forecast'!D4/'3-Year Forecast'!D2</f>
        <v>0.6</v>
      </c>
    </row>
    <row r="3" spans="1:4" x14ac:dyDescent="0.2">
      <c r="A3" s="1" t="s">
        <v>39</v>
      </c>
      <c r="B3" s="1">
        <f>'3-Year Forecast'!B6/'3-Year Forecast'!B2</f>
        <v>0.33828285714285716</v>
      </c>
      <c r="C3" s="1">
        <f>'3-Year Forecast'!C6/'3-Year Forecast'!C2</f>
        <v>0.53999722222222224</v>
      </c>
      <c r="D3" s="1">
        <f>'3-Year Forecast'!D6/'3-Year Forecast'!D2</f>
        <v>0.54166396604938272</v>
      </c>
    </row>
    <row r="4" spans="1:4" x14ac:dyDescent="0.2">
      <c r="A4" s="1" t="s">
        <v>40</v>
      </c>
      <c r="B4" s="1">
        <f>'3-Year Forecast'!B10/'3-Year Forecast'!B2</f>
        <v>0.25919771428571425</v>
      </c>
      <c r="C4" s="1">
        <f>'3-Year Forecast'!C10/'3-Year Forecast'!C2</f>
        <v>0.42141576719576723</v>
      </c>
      <c r="D4" s="1">
        <f>'3-Year Forecast'!D10/'3-Year Forecast'!D2</f>
        <v>0.42353301489320005</v>
      </c>
    </row>
    <row r="5" spans="1:4" x14ac:dyDescent="0.2">
      <c r="A5" s="1" t="s">
        <v>41</v>
      </c>
      <c r="B5" s="1">
        <f>'3-Year Forecast'!B5/'3-Year Forecast'!B2</f>
        <v>6.1717142857142859E-2</v>
      </c>
      <c r="C5" s="1">
        <f>'3-Year Forecast'!C5/'3-Year Forecast'!C2</f>
        <v>6.0002777777777773E-2</v>
      </c>
      <c r="D5" s="1">
        <f>'3-Year Forecast'!D5/'3-Year Forecast'!D2</f>
        <v>5.8336033950617289E-2</v>
      </c>
    </row>
    <row r="6" spans="1:4" x14ac:dyDescent="0.2">
      <c r="A6" s="1" t="s">
        <v>42</v>
      </c>
      <c r="B6" s="1">
        <f>'3-Year Forecast'!B3/'3-Year Forecast'!B2</f>
        <v>0.6</v>
      </c>
      <c r="C6" s="1">
        <f>'3-Year Forecast'!C3/'3-Year Forecast'!C2</f>
        <v>0.4</v>
      </c>
      <c r="D6" s="1">
        <f>'3-Year Forecast'!D3/'3-Year Forecast'!D2</f>
        <v>0.4</v>
      </c>
    </row>
    <row r="7" spans="1:4" x14ac:dyDescent="0.2">
      <c r="A7" s="1" t="s">
        <v>43</v>
      </c>
      <c r="C7" s="1">
        <f t="shared" ref="C7:D7" si="0">(C2-B2)/B2</f>
        <v>0.49999999999999989</v>
      </c>
      <c r="D7" s="1">
        <f t="shared" si="0"/>
        <v>0</v>
      </c>
    </row>
    <row r="8" spans="1:4" x14ac:dyDescent="0.2">
      <c r="A8" s="1" t="s">
        <v>44</v>
      </c>
      <c r="C8" s="1">
        <f>('3-Year Forecast'!C10-'3-Year Forecast'!B10)/'3-Year Forecast'!B10</f>
        <v>0.75591451423733902</v>
      </c>
      <c r="D8" s="1">
        <f>('3-Year Forecast'!D10-'3-Year Forecast'!C10)/'3-Year Forecast'!C10</f>
        <v>8.5426060653694583E-2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0"/>
  <sheetViews>
    <sheetView workbookViewId="0">
      <selection activeCell="B7" sqref="B7"/>
    </sheetView>
  </sheetViews>
  <sheetFormatPr defaultColWidth="12.5703125" defaultRowHeight="15.75" customHeight="1" x14ac:dyDescent="0.2"/>
  <cols>
    <col min="1" max="1" width="16.42578125" customWidth="1"/>
  </cols>
  <sheetData>
    <row r="1" spans="1:4" x14ac:dyDescent="0.2">
      <c r="A1" s="1" t="s">
        <v>22</v>
      </c>
      <c r="B1" s="1" t="s">
        <v>35</v>
      </c>
      <c r="C1" s="1" t="s">
        <v>36</v>
      </c>
      <c r="D1" s="1" t="s">
        <v>37</v>
      </c>
    </row>
    <row r="2" spans="1:4" x14ac:dyDescent="0.2">
      <c r="A2" s="1" t="s">
        <v>24</v>
      </c>
      <c r="B2" s="1">
        <v>350000</v>
      </c>
      <c r="C2" s="1">
        <f t="shared" ref="C2:D2" si="0">B2*1.08</f>
        <v>378000</v>
      </c>
      <c r="D2" s="1">
        <f t="shared" si="0"/>
        <v>408240</v>
      </c>
    </row>
    <row r="3" spans="1:4" x14ac:dyDescent="0.2">
      <c r="A3" s="1" t="s">
        <v>25</v>
      </c>
      <c r="B3" s="1">
        <f>B2*0.6</f>
        <v>210000</v>
      </c>
      <c r="C3" s="1">
        <f t="shared" ref="B3:D3" si="1">C2*0.4</f>
        <v>151200</v>
      </c>
      <c r="D3" s="1">
        <f t="shared" si="1"/>
        <v>163296</v>
      </c>
    </row>
    <row r="4" spans="1:4" x14ac:dyDescent="0.2">
      <c r="A4" s="1" t="s">
        <v>26</v>
      </c>
      <c r="B4" s="1">
        <f>B2-B3</f>
        <v>140000</v>
      </c>
      <c r="C4" s="1">
        <f t="shared" ref="B4:D4" si="2">C2-C3</f>
        <v>226800</v>
      </c>
      <c r="D4" s="1">
        <f t="shared" si="2"/>
        <v>244944</v>
      </c>
    </row>
    <row r="5" spans="1:4" x14ac:dyDescent="0.2">
      <c r="A5" s="1" t="s">
        <v>27</v>
      </c>
      <c r="B5" s="1">
        <f>'P&amp;L Statement'!B15</f>
        <v>21601</v>
      </c>
      <c r="C5" s="1">
        <f t="shared" ref="C5:D5" si="3">B5*1.05</f>
        <v>22681.05</v>
      </c>
      <c r="D5" s="1">
        <f t="shared" si="3"/>
        <v>23815.102500000001</v>
      </c>
    </row>
    <row r="6" spans="1:4" x14ac:dyDescent="0.2">
      <c r="A6" s="1" t="s">
        <v>29</v>
      </c>
      <c r="B6" s="1">
        <f t="shared" ref="B6:D6" si="4">B4-B5</f>
        <v>118399</v>
      </c>
      <c r="C6" s="1">
        <f t="shared" si="4"/>
        <v>204118.95</v>
      </c>
      <c r="D6" s="1">
        <f t="shared" si="4"/>
        <v>221128.89749999999</v>
      </c>
    </row>
    <row r="7" spans="1:4" x14ac:dyDescent="0.2">
      <c r="A7" s="1" t="s">
        <v>30</v>
      </c>
      <c r="B7" s="1">
        <v>5000</v>
      </c>
      <c r="C7" s="1">
        <v>5000</v>
      </c>
      <c r="D7" s="1">
        <v>5000</v>
      </c>
    </row>
    <row r="8" spans="1:4" x14ac:dyDescent="0.2">
      <c r="A8" s="1" t="s">
        <v>31</v>
      </c>
      <c r="B8" s="1">
        <f t="shared" ref="B8:D8" si="5">B6-B7</f>
        <v>113399</v>
      </c>
      <c r="C8" s="1">
        <f t="shared" si="5"/>
        <v>199118.95</v>
      </c>
      <c r="D8" s="1">
        <f t="shared" si="5"/>
        <v>216128.89749999999</v>
      </c>
    </row>
    <row r="9" spans="1:4" x14ac:dyDescent="0.2">
      <c r="A9" s="1" t="s">
        <v>32</v>
      </c>
      <c r="B9" s="1">
        <f t="shared" ref="B9:D9" si="6">B8*0.2</f>
        <v>22679.800000000003</v>
      </c>
      <c r="C9" s="1">
        <f t="shared" si="6"/>
        <v>39823.790000000008</v>
      </c>
      <c r="D9" s="1">
        <f t="shared" si="6"/>
        <v>43225.779500000004</v>
      </c>
    </row>
    <row r="10" spans="1:4" x14ac:dyDescent="0.2">
      <c r="A10" s="1" t="s">
        <v>33</v>
      </c>
      <c r="B10" s="1">
        <f t="shared" ref="B10:D10" si="7">B8-B9</f>
        <v>90719.2</v>
      </c>
      <c r="C10" s="1">
        <f t="shared" si="7"/>
        <v>159295.16</v>
      </c>
      <c r="D10" s="1">
        <f t="shared" si="7"/>
        <v>172903.11799999999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Cost Analysis</vt:lpstr>
      <vt:lpstr>P&amp;L Statement</vt:lpstr>
      <vt:lpstr>Financial Ratios</vt:lpstr>
      <vt:lpstr>3-Year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Anujit Jena</cp:lastModifiedBy>
  <dcterms:modified xsi:type="dcterms:W3CDTF">2025-09-08T05:53:53Z</dcterms:modified>
</cp:coreProperties>
</file>